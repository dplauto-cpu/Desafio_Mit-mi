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e toke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<sst xmlns="http://schemas.openxmlformats.org/spreadsheetml/2006/main" count="30" uniqueCount="27">
  <si>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Estimación de coste mensual por tokens — agentes Ágora (Mitumi)</t>
  </si>
  <si>
    <t xml:space="preserve">Precios oficiales Anthropic (platform.claude.com/docs/pricing), consultados 08/07/2026. Todas las cifras de volumen y tokens/tarea son SUPUESTOS editables (celdas en azul).</t>
  </si>
  <si>
    <t xml:space="preserve">Agente</t>
  </si>
  <si>
    <t xml:space="preserve">Modelo sugerido</t>
  </si>
  <si>
    <t xml:space="preserve">Precio input $/MTok</t>
  </si>
  <si>
    <t xml:space="preserve">Precio output $/MTok</t>
  </si>
  <si>
    <t xml:space="preserve">Volumen mensual (tareas)</t>
  </si>
  <si>
    <t xml:space="preserve">Tokens entrada/tarea</t>
  </si>
  <si>
    <t xml:space="preserve">Tokens salida/tarea</t>
  </si>
  <si>
    <t xml:space="preserve">Tokens entrada totales</t>
  </si>
  <si>
    <t xml:space="preserve">Tokens salida totales</t>
  </si>
  <si>
    <t xml:space="preserve">Coste entrada ($)</t>
  </si>
  <si>
    <t xml:space="preserve">Coste salida ($)</t>
  </si>
  <si>
    <t xml:space="preserve">Coste total mensual ($)</t>
  </si>
  <si>
    <t xml:space="preserve">01 Gestor de correos</t>
  </si>
  <si>
    <t xml:space="preserve">Claude Haiku 4.5</t>
  </si>
  <si>
    <t xml:space="preserve">02 Operis (Procesador)</t>
  </si>
  <si>
    <t xml:space="preserve">Claude Sonnet 4.6</t>
  </si>
  <si>
    <t xml:space="preserve">03 Hermes (Ponentes)</t>
  </si>
  <si>
    <t xml:space="preserve">04 Lumen (Copilot)</t>
  </si>
  <si>
    <t xml:space="preserve">05 Vigil (Alertas)</t>
  </si>
  <si>
    <t xml:space="preserve">Total</t>
  </si>
  <si>
    <t xml:space="preserve">Notas:</t>
  </si>
  <si>
    <t xml:space="preserve">- Vigil (05) no depende del orquestador, pero su coste de tokens se calcula igual.</t>
  </si>
  <si>
    <t xml:space="preserve">- Precios sin caché ni batch. El prompt caching puede reducir el coste de entrada repetido hasta un 90%.</t>
  </si>
  <si>
    <t xml:space="preserve">- Ajusta las celdas azules (precio, volumen, tokens/tarea) según datos reales de uso; el resto se recalcula solo.</t>
  </si>
  <si>
    <t xml:space="preserve">- 1 token ≈ 4 caracteres / 0,75 palabras en inglés; en español el ratio de caracteres por token suele ser algo mayor.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</si>
</sst>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8878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26215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Cambria"/>
      <family val="0"/>
      <charset val="1"/>
    </font>
    <font>
      <sz val="9"/>
      <color rgb="FF5F5E5A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DF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D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1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9" min="6" style="0" width="14"/>
    <col collapsed="false" customWidth="true" hidden="false" outlineLevel="0" max="11" min="10" style="0" width="13"/>
    <col collapsed="false" customWidth="true" hidden="false" outlineLevel="0" max="12" min="12" style="0" width="1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false" outlineLevel="0" collapsed="false">
      <c r="A5" s="5" t="s">
        <v>14</v>
      </c>
      <c r="B5" s="5" t="s">
        <v>15</v>
      </c>
      <c r="C5" s="6" t="n">
        <v>1</v>
      </c>
      <c r="D5" s="6" t="n">
        <v>5</v>
      </c>
      <c r="E5" s="6" t="n">
        <v>500</v>
      </c>
      <c r="F5" s="6" t="n">
        <v>800</v>
      </c>
      <c r="G5" s="6" t="n">
        <v>150</v>
      </c>
      <c r="H5" s="7" t="n">
        <f aca="false">E5*F5</f>
        <v>400000</v>
      </c>
      <c r="I5" s="7" t="n">
        <f aca="false">E5*G5</f>
        <v>75000</v>
      </c>
      <c r="J5" s="8" t="n">
        <f aca="false">H5*C5/1000000</f>
        <v>0.4</v>
      </c>
      <c r="K5" s="8" t="n">
        <f aca="false">I5*D5/1000000</f>
        <v>0.375</v>
      </c>
      <c r="L5" s="9" t="n">
        <f aca="false">J5+K5</f>
        <v>0.775</v>
      </c>
    </row>
    <row r="6" customFormat="false" ht="15" hidden="false" customHeight="false" outlineLevel="0" collapsed="false">
      <c r="A6" s="5" t="s">
        <v>16</v>
      </c>
      <c r="B6" s="5" t="s">
        <v>17</v>
      </c>
      <c r="C6" s="6" t="n">
        <v>3</v>
      </c>
      <c r="D6" s="6" t="n">
        <v>15</v>
      </c>
      <c r="E6" s="6" t="n">
        <v>200</v>
      </c>
      <c r="F6" s="6" t="n">
        <v>3000</v>
      </c>
      <c r="G6" s="6" t="n">
        <v>800</v>
      </c>
      <c r="H6" s="7" t="n">
        <f aca="false">E6*F6</f>
        <v>600000</v>
      </c>
      <c r="I6" s="7" t="n">
        <f aca="false">E6*G6</f>
        <v>160000</v>
      </c>
      <c r="J6" s="8" t="n">
        <f aca="false">H6*C6/1000000</f>
        <v>1.8</v>
      </c>
      <c r="K6" s="8" t="n">
        <f aca="false">I6*D6/1000000</f>
        <v>2.4</v>
      </c>
      <c r="L6" s="9" t="n">
        <f aca="false">J6+K6</f>
        <v>4.2</v>
      </c>
    </row>
    <row r="7" customFormat="false" ht="15" hidden="false" customHeight="false" outlineLevel="0" collapsed="false">
      <c r="A7" s="5" t="s">
        <v>18</v>
      </c>
      <c r="B7" s="5" t="s">
        <v>17</v>
      </c>
      <c r="C7" s="6" t="n">
        <v>3</v>
      </c>
      <c r="D7" s="6" t="n">
        <v>15</v>
      </c>
      <c r="E7" s="6" t="n">
        <v>300</v>
      </c>
      <c r="F7" s="6" t="n">
        <v>2000</v>
      </c>
      <c r="G7" s="6" t="n">
        <v>500</v>
      </c>
      <c r="H7" s="7" t="n">
        <f aca="false">E7*F7</f>
        <v>600000</v>
      </c>
      <c r="I7" s="7" t="n">
        <f aca="false">E7*G7</f>
        <v>150000</v>
      </c>
      <c r="J7" s="8" t="n">
        <f aca="false">H7*C7/1000000</f>
        <v>1.8</v>
      </c>
      <c r="K7" s="8" t="n">
        <f aca="false">I7*D7/1000000</f>
        <v>2.25</v>
      </c>
      <c r="L7" s="9" t="n">
        <f aca="false">J7+K7</f>
        <v>4.05</v>
      </c>
    </row>
    <row r="8" customFormat="false" ht="15" hidden="false" customHeight="false" outlineLevel="0" collapsed="false">
      <c r="A8" s="5" t="s">
        <v>19</v>
      </c>
      <c r="B8" s="5" t="s">
        <v>17</v>
      </c>
      <c r="C8" s="6" t="n">
        <v>3</v>
      </c>
      <c r="D8" s="6" t="n">
        <v>15</v>
      </c>
      <c r="E8" s="6" t="n">
        <v>400</v>
      </c>
      <c r="F8" s="6" t="n">
        <v>500</v>
      </c>
      <c r="G8" s="6" t="n">
        <v>300</v>
      </c>
      <c r="H8" s="7" t="n">
        <f aca="false">E8*F8</f>
        <v>200000</v>
      </c>
      <c r="I8" s="7" t="n">
        <f aca="false">E8*G8</f>
        <v>120000</v>
      </c>
      <c r="J8" s="8" t="n">
        <f aca="false">H8*C8/1000000</f>
        <v>0.6</v>
      </c>
      <c r="K8" s="8" t="n">
        <f aca="false">I8*D8/1000000</f>
        <v>1.8</v>
      </c>
      <c r="L8" s="9" t="n">
        <f aca="false">J8+K8</f>
        <v>2.4</v>
      </c>
    </row>
    <row r="9" customFormat="false" ht="15" hidden="false" customHeight="false" outlineLevel="0" collapsed="false">
      <c r="A9" s="5" t="s">
        <v>20</v>
      </c>
      <c r="B9" s="5" t="s">
        <v>15</v>
      </c>
      <c r="C9" s="6" t="n">
        <v>1</v>
      </c>
      <c r="D9" s="6" t="n">
        <v>5</v>
      </c>
      <c r="E9" s="6" t="n">
        <v>30</v>
      </c>
      <c r="F9" s="6" t="n">
        <v>5000</v>
      </c>
      <c r="G9" s="6" t="n">
        <v>300</v>
      </c>
      <c r="H9" s="7" t="n">
        <f aca="false">E9*F9</f>
        <v>150000</v>
      </c>
      <c r="I9" s="7" t="n">
        <f aca="false">E9*G9</f>
        <v>9000</v>
      </c>
      <c r="J9" s="8" t="n">
        <f aca="false">H9*C9/1000000</f>
        <v>0.15</v>
      </c>
      <c r="K9" s="8" t="n">
        <f aca="false">I9*D9/1000000</f>
        <v>0.045</v>
      </c>
      <c r="L9" s="9" t="n">
        <f aca="false">J9+K9</f>
        <v>0.195</v>
      </c>
    </row>
    <row r="10" customFormat="false" ht="15" hidden="false" customHeight="false" outlineLevel="0" collapsed="false">
      <c r="A10" s="10" t="s">
        <v>21</v>
      </c>
      <c r="B10" s="10"/>
      <c r="C10" s="10"/>
      <c r="D10" s="10"/>
      <c r="E10" s="10"/>
      <c r="F10" s="10"/>
      <c r="G10" s="10"/>
      <c r="H10" s="10"/>
      <c r="I10" s="10"/>
      <c r="J10" s="9" t="n">
        <f aca="false">SUM(J5:J9)</f>
        <v>4.75</v>
      </c>
      <c r="K10" s="9" t="n">
        <f aca="false">SUM(K5:K9)</f>
        <v>6.87</v>
      </c>
      <c r="L10" s="9" t="n">
        <f aca="false">SUM(L5:L9)</f>
        <v>11.62</v>
      </c>
    </row>
    <row r="12" customFormat="false" ht="15" hidden="false" customHeight="false" outlineLevel="0" collapsed="false">
      <c r="A12" s="11" t="s">
        <v>22</v>
      </c>
    </row>
    <row r="13" customFormat="false" ht="15" hidden="false" customHeight="false" outlineLevel="0" collapsed="false">
      <c r="A13" s="12" t="s">
        <v>23</v>
      </c>
      <c r="B13" s="12"/>
      <c r="C13" s="12"/>
      <c r="D13" s="12"/>
      <c r="E13" s="12"/>
      <c r="F13" s="12"/>
    </row>
    <row r="14" customFormat="false" ht="15" hidden="false" customHeight="false" outlineLevel="0" collapsed="false">
      <c r="A14" s="12" t="s">
        <v>24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2" t="s">
        <v>25</v>
      </c>
      <c r="B15" s="12"/>
      <c r="C15" s="12"/>
      <c r="D15" s="12"/>
      <c r="E15" s="12"/>
      <c r="F15" s="12"/>
    </row>
    <row r="16" customFormat="false" ht="15" hidden="false" customHeight="false" outlineLevel="0" collapsed="false">
      <c r="A16" s="12" t="s">
        <v>26</v>
      </c>
      <c r="B16" s="12"/>
      <c r="C16" s="12"/>
      <c r="D16" s="12"/>
      <c r="E16" s="12"/>
      <c r="F16" s="12"/>
    </row>
  </sheetData>
  <mergeCells count="7">
    <mergeCell ref="A1:L1"/>
    <mergeCell ref="A2:L2"/>
    <mergeCell ref="A10:I10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2026-07-08T11:19:25Z</dcterms:created>
  <dc:creator>openpyxl</dc:creator>
  <dc:description/>
  <dc:language>en-US</dc:language>
  <cp:lastModifiedBy/>
  <dcterms:modified xsi:type="dcterms:W3CDTF">2026-07-08T11:19:25Z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