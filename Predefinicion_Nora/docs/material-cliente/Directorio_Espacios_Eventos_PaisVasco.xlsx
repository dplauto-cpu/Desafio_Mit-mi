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RUZ/Dropbox/PROYECTOS en curso 2025/DIRECTORIO DE ESPACIOS EN EL PAIS VASCO/"/>
    </mc:Choice>
  </mc:AlternateContent>
  <xr:revisionPtr revIDLastSave="0" documentId="13_ncr:1_{38712E8F-B743-9A43-9399-6BDD5C63853A}" xr6:coauthVersionLast="47" xr6:coauthVersionMax="47" xr10:uidLastSave="{00000000-0000-0000-0000-000000000000}"/>
  <bookViews>
    <workbookView xWindow="2460" yWindow="1360" windowWidth="51200" windowHeight="26720" activeTab="1" xr2:uid="{00000000-000D-0000-FFFF-FFFF00000000}"/>
  </bookViews>
  <sheets>
    <sheet name="ÍNDICE" sheetId="1" r:id="rId1"/>
    <sheet name="Bilbao" sheetId="2" r:id="rId2"/>
    <sheet name="Donostia-San Sebastián" sheetId="3" r:id="rId3"/>
    <sheet name="Vitoria-Gasteiz" sheetId="4" r:id="rId4"/>
  </sheets>
  <definedNames>
    <definedName name="_xlnm._FilterDatabase" localSheetId="1" hidden="1">Bilbao!$A$1:$J$9</definedName>
    <definedName name="_xlnm._FilterDatabase" localSheetId="2" hidden="1">'Donostia-San Sebastián'!$A$1:$J$9</definedName>
    <definedName name="_xlnm._FilterDatabase" localSheetId="3" hidden="1">'Vitoria-Gasteiz'!$A$1:$J$9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</calcChain>
</file>

<file path=xl/sharedStrings.xml><?xml version="1.0" encoding="utf-8"?>
<sst xmlns="http://schemas.openxmlformats.org/spreadsheetml/2006/main" count="363" uniqueCount="278">
  <si>
    <t>DIRECTORIO DE ESPACIOS Y AULAS</t>
  </si>
  <si>
    <t>País Vasco – Contactos para Eventos</t>
  </si>
  <si>
    <t>Ciudad</t>
  </si>
  <si>
    <t>Nº Espacios</t>
  </si>
  <si>
    <t>Ir a pestaña</t>
  </si>
  <si>
    <t>Bilbao</t>
  </si>
  <si>
    <t>Donostia-San Sebastián</t>
  </si>
  <si>
    <t>Vitoria-Gasteiz</t>
  </si>
  <si>
    <t>CAMPOS DE LA TABLA</t>
  </si>
  <si>
    <t>Nombre del Espacio</t>
  </si>
  <si>
    <t>Nombre oficial del local / sala</t>
  </si>
  <si>
    <t>Persona de Contacto</t>
  </si>
  <si>
    <t>Responsable habitual de eventos o reservas</t>
  </si>
  <si>
    <t>Email</t>
  </si>
  <si>
    <t>Dirección de correo principal para consultas</t>
  </si>
  <si>
    <t>Teléfono</t>
  </si>
  <si>
    <t>Número directo del departamento de eventos</t>
  </si>
  <si>
    <t>Dirección</t>
  </si>
  <si>
    <t>Dirección postal completa</t>
  </si>
  <si>
    <t>Capacidad</t>
  </si>
  <si>
    <t>Aforo orientativo (puede variar según configuración)</t>
  </si>
  <si>
    <t>Complementos / Equipamiento</t>
  </si>
  <si>
    <t>Servicios incluidos o disponibles (A/V, catering, wifi…)</t>
  </si>
  <si>
    <t>Notas / Observaciones</t>
  </si>
  <si>
    <t>Características diferenciales del espacio</t>
  </si>
  <si>
    <t>Tipo de Evento</t>
  </si>
  <si>
    <t>Tipología de evento más habitual</t>
  </si>
  <si>
    <t>Capacidad (personas)</t>
  </si>
  <si>
    <t>Palacio Euskalduna</t>
  </si>
  <si>
    <t>Dpto. Eventos</t>
  </si>
  <si>
    <t>eventos@euskalduna.net</t>
  </si>
  <si>
    <t>+34 944 035 000</t>
  </si>
  <si>
    <t>Av. Abandoibarra, 4, 48011 Bilbao</t>
  </si>
  <si>
    <t>hasta 2.200</t>
  </si>
  <si>
    <t>A/V, catering, wifi, parking, guardarropa</t>
  </si>
  <si>
    <t>Referencia congresual del País Vasco</t>
  </si>
  <si>
    <t>Congreso / Gran evento</t>
  </si>
  <si>
    <t>Bilbao Exhibition Centre (BEC)</t>
  </si>
  <si>
    <t>Área Comercial</t>
  </si>
  <si>
    <t>info@bilbaoexhibitioncentre.com</t>
  </si>
  <si>
    <t>+34 944 040 000</t>
  </si>
  <si>
    <t>Ronda de Azkue, 1, 48902 Barakaldo</t>
  </si>
  <si>
    <t>hasta 10.000</t>
  </si>
  <si>
    <t>Parking, catering, wifi, salas modulares</t>
  </si>
  <si>
    <t>Recintos feriales y salas de conferencias</t>
  </si>
  <si>
    <t>Feria / Congreso</t>
  </si>
  <si>
    <t>Torre Iberdrola – Sala de Eventos</t>
  </si>
  <si>
    <t>+34 944 151 411</t>
  </si>
  <si>
    <t>Plaza Euskadi, 5, 48009 Bilbao</t>
  </si>
  <si>
    <t>hasta 150</t>
  </si>
  <si>
    <t>Wifi, A/V, vistas panorámicas, catering externo</t>
  </si>
  <si>
    <t>Sala corporativa de alto standing</t>
  </si>
  <si>
    <t>Corporativo / Formación</t>
  </si>
  <si>
    <t>Parque de Doña Casilda, s/n, 48013 Bilbao</t>
  </si>
  <si>
    <t>hasta 2.400</t>
  </si>
  <si>
    <t>A/V, wifi, catering, traducción simultánea</t>
  </si>
  <si>
    <t>Sede oficial de congresos y simposios</t>
  </si>
  <si>
    <t>Congreso / Cultural</t>
  </si>
  <si>
    <t>Cowork Bilbao – Sala de Reuniones</t>
  </si>
  <si>
    <t>Recepción</t>
  </si>
  <si>
    <t>hola@coworkbilbao.com</t>
  </si>
  <si>
    <t>+34 944 700 000</t>
  </si>
  <si>
    <t>Gran Vía, 30, 48009 Bilbao</t>
  </si>
  <si>
    <t>hasta 40</t>
  </si>
  <si>
    <t>Wifi, proyector, café, acceso 24h</t>
  </si>
  <si>
    <t>Ideal para talleres y formaciones pequeñas</t>
  </si>
  <si>
    <t>Formación / Reunión</t>
  </si>
  <si>
    <t>Azkuna Zentroa (Alhóndiga)</t>
  </si>
  <si>
    <t>Programación</t>
  </si>
  <si>
    <t>Plaza Arriquibar, 4, 48010 Bilbao</t>
  </si>
  <si>
    <t>hasta 500</t>
  </si>
  <si>
    <t>A/V, wifi, bar/restaurante, salas polivalentes</t>
  </si>
  <si>
    <t>Centro cultural con espacios únicos</t>
  </si>
  <si>
    <t>Cultural / Social</t>
  </si>
  <si>
    <t>Hotel Meliá Bilbao – Salas</t>
  </si>
  <si>
    <t>Eventos</t>
  </si>
  <si>
    <t>melia.bilbao@melia.com</t>
  </si>
  <si>
    <t>+34 944 280 000</t>
  </si>
  <si>
    <t>Lehendakari Leizaola, 29, 48001 Bilbao</t>
  </si>
  <si>
    <t>hasta 600</t>
  </si>
  <si>
    <t>A/V, catering, wifi, alojamiento</t>
  </si>
  <si>
    <t>Hotel 5* con salas de eventos y catering propio</t>
  </si>
  <si>
    <t>Corporativo / Gala</t>
  </si>
  <si>
    <t>Universidad de Deusto – Aulas</t>
  </si>
  <si>
    <t>Relaciones Institucionales</t>
  </si>
  <si>
    <t>comunicacion@deusto.es</t>
  </si>
  <si>
    <t>+34 944 139 000</t>
  </si>
  <si>
    <t>Avda. de las Universidades, 24, 48007 Bilbao</t>
  </si>
  <si>
    <t>hasta 300</t>
  </si>
  <si>
    <t>Proyector, wifi, cafetería</t>
  </si>
  <si>
    <t>Posibilidad de aulas y salón de actos</t>
  </si>
  <si>
    <t>Formación / Académico</t>
  </si>
  <si>
    <t>Yimby Ercilla</t>
  </si>
  <si>
    <t>+34 946 941 141</t>
  </si>
  <si>
    <t>C/ Ercilla, 24, 1º, 48011 Bilbao</t>
  </si>
  <si>
    <t>Patio acristalado (165 m²), cocina equipada, A/V, wifi, catering propio o externo, streaming</t>
  </si>
  <si>
    <t>5 salas modulables (1.200 m²) + patio 'Bosque de las Promesas'. Referente para eventos creativos y corporativos</t>
  </si>
  <si>
    <t>Corporativo / Formación / Social</t>
  </si>
  <si>
    <t>Yimby Sota (Edificio Sota)</t>
  </si>
  <si>
    <t>Gran Vía, 45, 48011 Bilbao</t>
  </si>
  <si>
    <t>hasta 100</t>
  </si>
  <si>
    <t>4 salas modulables (225 m²), wifi, A/V, streaming, edificio histórico emblemático</t>
  </si>
  <si>
    <t>Espacio en el edificio Sota (Gran Vía). Atmósfera íntima y exclusiva, ideal para eventos corporativos pequeños</t>
  </si>
  <si>
    <t>Corporativo / Presentación / Reunión</t>
  </si>
  <si>
    <t>SILO Bilbao</t>
  </si>
  <si>
    <t>+34 660 330 430</t>
  </si>
  <si>
    <t>Muelle de Olabeaga, 21, 48013 Bilbao</t>
  </si>
  <si>
    <t>hasta 270</t>
  </si>
  <si>
    <t>Espacio diáfano 400 m², terraza a pie de ría, cocina equipada, catering propio, guardarropa, A/V</t>
  </si>
  <si>
    <t>Antigua fábrica de café reconvertida; estética industrial junto a la ría, frente a San Mamés. Muy versátil</t>
  </si>
  <si>
    <t>Social / Corporativo / Cultural</t>
  </si>
  <si>
    <t>San Mamés – Espacios Eventos</t>
  </si>
  <si>
    <t>Dpto. Eventos San Mamés</t>
  </si>
  <si>
    <t>eventos@athletic-club.eus</t>
  </si>
  <si>
    <t>+34 944 061 898</t>
  </si>
  <si>
    <t>Rafael Moreno 'Pitxitxi', s/n, 48013 Bilbao</t>
  </si>
  <si>
    <t>hasta 3.000</t>
  </si>
  <si>
    <t>Auditorio (400 butacas elevables), Sala Norte, Sala Sur, Sky Box, Salas Corner, museo, restaurante, parking</t>
  </si>
  <si>
    <t>Más de 6.000 m² para eventos. Icono mundial (mejor edificio deportivo del mundo 2015). Salas desde 6 personas hasta 3.000</t>
  </si>
  <si>
    <t>Corporativo / Congreso / Gala / Gran evento</t>
  </si>
  <si>
    <t>BAT B Accelerator Tower</t>
  </si>
  <si>
    <t>Talent Garden Bilbao</t>
  </si>
  <si>
    <t>Gran Vía, 1 (Torre Bizkaia), 48001 Bilbao</t>
  </si>
  <si>
    <t>hasta 200</t>
  </si>
  <si>
    <t>Auditorio, salas de workshop, terraza con jardín vertical, cafetería, wifi, A/V, coworking</t>
  </si>
  <si>
    <t>Hub de innovación en Torre Bizkaia (plantas 6–13). Perfil tech/startup pero abierto a eventos externos. Entorno singular</t>
  </si>
  <si>
    <t>Corporativo / Innovación / Formación</t>
  </si>
  <si>
    <t>Palacio de Congresos Kursaal</t>
  </si>
  <si>
    <t>Departamento de Eventos</t>
  </si>
  <si>
    <t>eventos@kursaal.eus</t>
  </si>
  <si>
    <t>+34 943 003 000</t>
  </si>
  <si>
    <t>Av. de la Zurriola, 1, 20002 Donostia</t>
  </si>
  <si>
    <t>hasta 1.806</t>
  </si>
  <si>
    <t>A/V, wifi, catering, parking, guardarropa</t>
  </si>
  <si>
    <t>Icono arquitectónico; sede de congresos internacionales</t>
  </si>
  <si>
    <t>Congreso / Gala</t>
  </si>
  <si>
    <t>BEC Feria de San Sebastián (Ficoba)</t>
  </si>
  <si>
    <t>Comercial</t>
  </si>
  <si>
    <t>ficoba@ficoba.com</t>
  </si>
  <si>
    <t>+34 943 614 932</t>
  </si>
  <si>
    <t>Lugar de Jaizkibel, s/n, 20280 Hondarribia</t>
  </si>
  <si>
    <t>hasta 9.000</t>
  </si>
  <si>
    <t>Parking, catering, salas modulares, wifi</t>
  </si>
  <si>
    <t>Recinto ferial del Gipuzkoa (Hondarribia, cerca de SS)</t>
  </si>
  <si>
    <t>Feria / Gran evento</t>
  </si>
  <si>
    <t>Hotel María Cristina – Salas</t>
  </si>
  <si>
    <t>events.mariacristina@luxury.com</t>
  </si>
  <si>
    <t>+34 943 437 600</t>
  </si>
  <si>
    <t>Paseo de la República Argentina, 4, 20004 Donostia</t>
  </si>
  <si>
    <t>hasta 350</t>
  </si>
  <si>
    <t>A/V, catering propio, wifi, alojamiento</t>
  </si>
  <si>
    <t>Hotel emblemático 5*; elegancia clásica</t>
  </si>
  <si>
    <t>Tabakalera – Espacio Internacional</t>
  </si>
  <si>
    <t>info@tabakalera.eu</t>
  </si>
  <si>
    <t>+34 943 011 000</t>
  </si>
  <si>
    <t>Plaza de las Cigarreras, 1, 20012 Donostia</t>
  </si>
  <si>
    <t>hasta 250</t>
  </si>
  <si>
    <t>Wifi, A/V, cafetería, salas modulares</t>
  </si>
  <si>
    <t>Centro de cultura contemporánea en edificio rehabilitado</t>
  </si>
  <si>
    <t>Cultural / Creativo</t>
  </si>
  <si>
    <t>Illunbe (San Sebastián Arena)</t>
  </si>
  <si>
    <t>eventos@illunbe.com</t>
  </si>
  <si>
    <t>+34 943 000 000</t>
  </si>
  <si>
    <t>Paseo de Anoeta, 8, 20014 Donostia</t>
  </si>
  <si>
    <t>hasta 8.000</t>
  </si>
  <si>
    <t>A/V, parking, catering, wifi</t>
  </si>
  <si>
    <t>Pabellón multiusos para grandes eventos</t>
  </si>
  <si>
    <t>Concierto / Gran evento</t>
  </si>
  <si>
    <t>Universidad del País Vasco (EHU) Campus Gipuzkoa</t>
  </si>
  <si>
    <t>Rel. Externas</t>
  </si>
  <si>
    <t>info@ehu.eus</t>
  </si>
  <si>
    <t>+34 943 018 000</t>
  </si>
  <si>
    <t>Plaza Elhuyar, 1, 20018 Donostia</t>
  </si>
  <si>
    <t>hasta 400</t>
  </si>
  <si>
    <t>Proyector, wifi, cafetería, parking</t>
  </si>
  <si>
    <t>Aulas y salones de actos universitarios</t>
  </si>
  <si>
    <t>Hotel NH Donostia</t>
  </si>
  <si>
    <t>nhdonostia@nh-hotels.com</t>
  </si>
  <si>
    <t>+34 943 448 000</t>
  </si>
  <si>
    <t>Zubieta, 56, 20007 Donostia</t>
  </si>
  <si>
    <t>A/V, wifi, catering, parking</t>
  </si>
  <si>
    <t>Hotel urbano céntrico con salas polivalentes</t>
  </si>
  <si>
    <t>Corporativo / Reunión</t>
  </si>
  <si>
    <t>Aquarium Donostia – Sala Eventos</t>
  </si>
  <si>
    <t>Alquiler Espacios</t>
  </si>
  <si>
    <t>eventos@aquariumss.com</t>
  </si>
  <si>
    <t>+34 943 440 099</t>
  </si>
  <si>
    <t>Plaza Carlos Blasco de Imaz, 1, 20003 Donostia</t>
  </si>
  <si>
    <t>hasta 180</t>
  </si>
  <si>
    <t>Wifi, A/V, vistas al puerto, catering externo</t>
  </si>
  <si>
    <t>Espacio singular con vistas al mar</t>
  </si>
  <si>
    <t>Social / Corporativo</t>
  </si>
  <si>
    <t>Palacio de Congresos Europa</t>
  </si>
  <si>
    <t>Reservas y Eventos</t>
  </si>
  <si>
    <t>congresos@vitoria-gasteiz.org</t>
  </si>
  <si>
    <t>+34 945 161 550</t>
  </si>
  <si>
    <t>Av. de Santiago, 2, 01001 Vitoria-Gasteiz</t>
  </si>
  <si>
    <t>hasta 1.000</t>
  </si>
  <si>
    <t>Principal espacio de congresos de la ciudad</t>
  </si>
  <si>
    <t>Congreso / Corporativo</t>
  </si>
  <si>
    <t>Centro Exposiciones Europa (CEE)</t>
  </si>
  <si>
    <t>cee@vitoria-gasteiz.org</t>
  </si>
  <si>
    <t>+34 945 161 500</t>
  </si>
  <si>
    <t>hasta 4.000</t>
  </si>
  <si>
    <t>Parking, wifi, salas modulares, catering</t>
  </si>
  <si>
    <t>Recinto ferial y exposiciones junto al Palacio de Congresos</t>
  </si>
  <si>
    <t>Hotel Silken Ciudad de Vitoria – Salas</t>
  </si>
  <si>
    <t>eventos.vitoria@hoteles-silken.com</t>
  </si>
  <si>
    <t>+34 945 141 100</t>
  </si>
  <si>
    <t>Portal de Castilla, 8, 01008 Vitoria-Gasteiz</t>
  </si>
  <si>
    <t>A/V, catering, wifi, parking, alojamiento</t>
  </si>
  <si>
    <t>Hotel 4* referente para eventos corporativos</t>
  </si>
  <si>
    <t>Artium – Museo de Arte Contemporáneo</t>
  </si>
  <si>
    <t>Comunicación</t>
  </si>
  <si>
    <t>artium@artium.eus</t>
  </si>
  <si>
    <t>+34 945 209 020</t>
  </si>
  <si>
    <t>C/ Francia, 24, 01002 Vitoria-Gasteiz</t>
  </si>
  <si>
    <t>Wifi, A/V, cafetería, espacios únicos</t>
  </si>
  <si>
    <t>Museo con salas alquilables; entorno artístico singular</t>
  </si>
  <si>
    <t>Cultural / Corporativo</t>
  </si>
  <si>
    <t>Universidad del País Vasco (EHU) Campus Álava</t>
  </si>
  <si>
    <t>+34 945 013 000</t>
  </si>
  <si>
    <t>Portal de Lasarte, 1, 01006 Vitoria-Gasteiz</t>
  </si>
  <si>
    <t>Aulas y salón de actos en campus universitario</t>
  </si>
  <si>
    <t>Bilbao Arena Gasteiz (Fernando Buesa)</t>
  </si>
  <si>
    <t>Gestión Espacios</t>
  </si>
  <si>
    <t>arena@vitoria-gasteiz.org</t>
  </si>
  <si>
    <t>+34 945 115 200</t>
  </si>
  <si>
    <t>C/ Portal de Lasarte, s/n, 01007 Vitoria-Gasteiz</t>
  </si>
  <si>
    <t>hasta 15.000</t>
  </si>
  <si>
    <t>A/V profesional, parking, catering, wifi</t>
  </si>
  <si>
    <t>Pabellón multiusos para grandes eventos y conciertos</t>
  </si>
  <si>
    <t>Gran evento / Deporte</t>
  </si>
  <si>
    <t>Hotel Lakua – Salas de Reunión</t>
  </si>
  <si>
    <t>info@hotellakua.com</t>
  </si>
  <si>
    <t>+34 945 180 900</t>
  </si>
  <si>
    <t>Tarragona, 8, 01010 Vitoria-Gasteiz</t>
  </si>
  <si>
    <t>hasta 120</t>
  </si>
  <si>
    <t>Wifi, proyector, catering, parking</t>
  </si>
  <si>
    <t>Hotel moderno zona de negocios; buena relación calidad-precio</t>
  </si>
  <si>
    <t>Reunión / Formación</t>
  </si>
  <si>
    <t>Espacio Ramiro Maeztu (Palacio de Ajuria Enea – externo)</t>
  </si>
  <si>
    <t>Gestión Cultural</t>
  </si>
  <si>
    <t>cultura@vitoria-gasteiz.org</t>
  </si>
  <si>
    <t>+34 945 161 000</t>
  </si>
  <si>
    <t>Parque de la Florida, s/n, 01005 Vitoria-Gasteiz</t>
  </si>
  <si>
    <t>Wifi, A/V, jardines, catering externo</t>
  </si>
  <si>
    <t>Espacios culturales municipales en entorno verde</t>
  </si>
  <si>
    <t>naiara@yimbybilbao.com</t>
  </si>
  <si>
    <t>Naiara Hurtado</t>
  </si>
  <si>
    <t>Naroa</t>
  </si>
  <si>
    <t>silo@silobilbao.com</t>
  </si>
  <si>
    <t>maria.aranzadi@cbre.com</t>
  </si>
  <si>
    <t>María Aranzadi</t>
  </si>
  <si>
    <t>EUSKALDUNA</t>
  </si>
  <si>
    <t>ane.arana@euskalduna.eus</t>
  </si>
  <si>
    <t>Ane Arana</t>
  </si>
  <si>
    <t xml:space="preserve"> 944 352 500  D8944.035.000</t>
  </si>
  <si>
    <t>reception@bacceleratortower.com</t>
  </si>
  <si>
    <t>Barakaldo</t>
  </si>
  <si>
    <t>BIC Ezquerraldea</t>
  </si>
  <si>
    <t>Itxaso urkiza</t>
  </si>
  <si>
    <t>itxaso.urkiza@bicezkerraldea.eus</t>
  </si>
  <si>
    <t>Avenida Altos Hornos de Vizcaya, 33
48901 Barakaldo – BIZKAIA</t>
  </si>
  <si>
    <t>94 418 41 00</t>
  </si>
  <si>
    <t>(+34) 944 581 771</t>
  </si>
  <si>
    <t>hasta 190 (salón de actos) · Aulas: 22 y 33 personas · Salas reunión: 6–14 personas · Espacio diáfano 1ª planta: 350 m² · Terraza cubierta 2ª planta: 280 m²</t>
  </si>
  <si>
    <t>A/V, traducción simultánea, wifi, parking privado, catering externo sugerido, accesibilidad, exposiciones</t>
  </si>
  <si>
    <t>Edificio Ilgner (1927), antigua subestación eléctrica de Altos Hornos de Vizcaya rehabilitada. Espacio histórico singular a orillas del Nervión. Versatilidad alta: desde 6 hasta 190 personas</t>
  </si>
  <si>
    <t>Corporativo / Formación / Congreso / Innovación</t>
  </si>
  <si>
    <t>info@azkunazentroa.com bepalza@azkunazentroa.eus</t>
  </si>
  <si>
    <t>94 612 43 14</t>
  </si>
  <si>
    <t>Bárbara</t>
  </si>
  <si>
    <t>Museo marítimo</t>
  </si>
  <si>
    <t>Ramón de la Sota Kaia, Abando, 48009 Bilbao, Bizkaia</t>
  </si>
  <si>
    <t>946 08 55 00</t>
  </si>
  <si>
    <t xml:space="preserve">Sitio web </t>
  </si>
  <si>
    <t>Tienen formulario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</si>
</sst>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6"/>
      <color rgb="FF1F3864"/>
      <name val="Arial"/>
      <family val="2"/>
    </font>
    <font>
      <i/>
      <sz val="11"/>
      <color rgb="FF555555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2"/>
      <color rgb="FF1F3864"/>
      <name val="Arial"/>
      <family val="2"/>
    </font>
    <font>
      <b/>
      <sz val="10"/>
      <name val="Arial"/>
      <family val="2"/>
    </font>
    <font>
      <sz val="10"/>
      <color rgb="FF444444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EBF3FB"/>
      </patternFill>
    </fill>
    <fill>
      <patternFill patternType="solid">
        <fgColor rgb="FF14532D"/>
      </patternFill>
    </fill>
    <fill>
      <patternFill patternType="solid">
        <fgColor rgb="FFD1FAE5"/>
      </patternFill>
    </fill>
    <fill>
      <patternFill patternType="solid">
        <fgColor rgb="FFECFDF5"/>
      </patternFill>
    </fill>
    <fill>
      <patternFill patternType="solid">
        <fgColor rgb="FF78350F"/>
      </patternFill>
    </fill>
    <fill>
      <patternFill patternType="solid">
        <fgColor rgb="FFFEF3C7"/>
      </patternFill>
    </fill>
    <fill>
      <patternFill patternType="solid">
        <fgColor rgb="FFFFFBEB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10" fillId="4" borderId="1" xfId="1" applyFill="1" applyBorder="1" applyAlignment="1">
      <alignment vertical="center" wrapText="1"/>
    </xf>
    <xf numFmtId="0" fontId="10" fillId="3" borderId="1" xfId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0" fillId="4" borderId="2" xfId="1" applyFill="1" applyBorder="1" applyAlignment="1">
      <alignment vertical="center" wrapText="1"/>
    </xf>
    <xf numFmtId="0" fontId="11" fillId="0" borderId="0" xfId="0" applyFont="1"/>
    <xf numFmtId="0" fontId="10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gs_ssp=eJzj4tZP1zc0MjTJTbEoMGC0UjGoSDFJNTUwMkk0NjEwMTNIszKoMDI0tUwytTRMBVGJSWZe3JklxYnFuaXFqaW5AB3KEj8&amp;q=itsasmuseum&amp;oq=itsa&amp;gs_lcrp=EgZjaHJvbWUqDQgCEC4YrwEYxwEYgAQyBggAEEUYOTIHCAEQABiABDINCAIQLhivARjHARiABDIHCAMQABiABDIHCAQQLhiABDIHCAUQLhiABDIHCAYQLhiABDISCAcQLhgKGK8BGMcBGIAEGI4FMgcICBAAGIAEMgcICRAuGIAE0gEKMjcyOTJqMGoxNagCCLACAfEFfk9VCEoEAw3xBX5PVQhKBAMN&amp;sourceid=chrome&amp;ie=UTF-8" TargetMode="External"/><Relationship Id="rId3" Type="http://schemas.openxmlformats.org/officeDocument/2006/relationships/hyperlink" Target="mailto:naiara@yimbybilbao.com" TargetMode="External"/><Relationship Id="rId7" Type="http://schemas.openxmlformats.org/officeDocument/2006/relationships/hyperlink" Target="mailto:itxaso.urkiza@bicezkerraldea.eus" TargetMode="External"/><Relationship Id="rId2" Type="http://schemas.openxmlformats.org/officeDocument/2006/relationships/hyperlink" Target="mailto:silo@silobilbao.com" TargetMode="External"/><Relationship Id="rId1" Type="http://schemas.openxmlformats.org/officeDocument/2006/relationships/hyperlink" Target="mailto:naiara@yimbybilbao.com" TargetMode="External"/><Relationship Id="rId6" Type="http://schemas.openxmlformats.org/officeDocument/2006/relationships/hyperlink" Target="mailto:reception@bacceleratortower.com" TargetMode="External"/><Relationship Id="rId5" Type="http://schemas.openxmlformats.org/officeDocument/2006/relationships/hyperlink" Target="mailto:ane.arana@euskalduna.eus" TargetMode="External"/><Relationship Id="rId4" Type="http://schemas.openxmlformats.org/officeDocument/2006/relationships/hyperlink" Target="mailto:maria.aranzadi@cb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A22" sqref="A22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55" customWidth="1"/>
  </cols>
  <sheetData>
    <row r="1" spans="1:3" ht="8" customHeight="1" x14ac:dyDescent="0.2"/>
    <row r="2" spans="1:3" ht="20" x14ac:dyDescent="0.2">
      <c r="A2" s="1" t="s">
        <v>0</v>
      </c>
    </row>
    <row r="3" spans="1:3" x14ac:dyDescent="0.2">
      <c r="A3" s="2" t="s">
        <v>1</v>
      </c>
    </row>
    <row r="5" spans="1:3" x14ac:dyDescent="0.2">
      <c r="A5" s="3" t="s">
        <v>2</v>
      </c>
      <c r="B5" s="3" t="s">
        <v>3</v>
      </c>
      <c r="C5" s="3" t="s">
        <v>4</v>
      </c>
    </row>
    <row r="6" spans="1:3" ht="24" customHeight="1" x14ac:dyDescent="0.2">
      <c r="A6" s="4" t="s">
        <v>5</v>
      </c>
      <c r="B6" s="5">
        <v>14</v>
      </c>
      <c r="C6" s="5" t="str">
        <f>HYPERLINK("#'Bilbao'!A1","→ Bilbao")</f>
        <v>→ Bilbao</v>
      </c>
    </row>
    <row r="7" spans="1:3" ht="24" customHeight="1" x14ac:dyDescent="0.2">
      <c r="A7" s="6" t="s">
        <v>6</v>
      </c>
      <c r="B7" s="7">
        <v>8</v>
      </c>
      <c r="C7" s="7" t="str">
        <f>HYPERLINK("#'Donostia / San Sebastián'!A1","→ Donostia / SS")</f>
        <v>→ Donostia / SS</v>
      </c>
    </row>
    <row r="8" spans="1:3" ht="24" customHeight="1" x14ac:dyDescent="0.2">
      <c r="A8" s="8" t="s">
        <v>7</v>
      </c>
      <c r="B8" s="9">
        <v>8</v>
      </c>
      <c r="C8" s="9" t="str">
        <f>HYPERLINK("#'Vitoria-Gasteiz'!A1","→ Vitoria-Gasteiz")</f>
        <v>→ Vitoria-Gasteiz</v>
      </c>
    </row>
    <row r="9" spans="1:3" ht="16" x14ac:dyDescent="0.2">
      <c r="A9" s="10"/>
    </row>
    <row r="10" spans="1:3" x14ac:dyDescent="0.2">
      <c r="A10" s="11" t="s">
        <v>8</v>
      </c>
      <c r="C10" s="12"/>
    </row>
    <row r="11" spans="1:3" x14ac:dyDescent="0.2">
      <c r="A11" s="11" t="s">
        <v>9</v>
      </c>
      <c r="C11" s="12" t="s">
        <v>10</v>
      </c>
    </row>
    <row r="12" spans="1:3" x14ac:dyDescent="0.2">
      <c r="A12" s="11" t="s">
        <v>11</v>
      </c>
      <c r="C12" s="12" t="s">
        <v>12</v>
      </c>
    </row>
    <row r="13" spans="1:3" x14ac:dyDescent="0.2">
      <c r="A13" s="11" t="s">
        <v>13</v>
      </c>
      <c r="C13" s="12" t="s">
        <v>14</v>
      </c>
    </row>
    <row r="14" spans="1:3" x14ac:dyDescent="0.2">
      <c r="A14" s="11" t="s">
        <v>15</v>
      </c>
      <c r="C14" s="12" t="s">
        <v>16</v>
      </c>
    </row>
    <row r="15" spans="1:3" x14ac:dyDescent="0.2">
      <c r="A15" s="11" t="s">
        <v>17</v>
      </c>
      <c r="C15" s="12" t="s">
        <v>18</v>
      </c>
    </row>
    <row r="16" spans="1:3" x14ac:dyDescent="0.2">
      <c r="A16" s="11" t="s">
        <v>19</v>
      </c>
      <c r="C16" s="12" t="s">
        <v>20</v>
      </c>
    </row>
    <row r="17" spans="1:3" x14ac:dyDescent="0.2">
      <c r="A17" s="11" t="s">
        <v>21</v>
      </c>
      <c r="C17" s="12" t="s">
        <v>22</v>
      </c>
    </row>
    <row r="18" spans="1:3" x14ac:dyDescent="0.2">
      <c r="A18" s="11" t="s">
        <v>23</v>
      </c>
      <c r="C18" s="12" t="s">
        <v>24</v>
      </c>
    </row>
    <row r="19" spans="1:3" x14ac:dyDescent="0.2">
      <c r="A19" s="26" t="s">
        <v>25</v>
      </c>
      <c r="C19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1" width="16" customWidth="1"/>
    <col min="2" max="2" width="32" customWidth="1"/>
    <col min="3" max="3" width="22" customWidth="1"/>
    <col min="4" max="4" width="32" customWidth="1"/>
    <col min="5" max="5" width="18" customWidth="1"/>
    <col min="6" max="6" width="40" customWidth="1"/>
    <col min="7" max="7" width="20" customWidth="1"/>
    <col min="8" max="8" width="42" customWidth="1"/>
    <col min="9" max="9" width="38" customWidth="1"/>
    <col min="10" max="10" width="22" customWidth="1"/>
  </cols>
  <sheetData>
    <row r="1" spans="1:10" ht="32" customHeight="1" x14ac:dyDescent="0.2">
      <c r="A1" s="13" t="s">
        <v>2</v>
      </c>
      <c r="B1" s="13" t="s">
        <v>9</v>
      </c>
      <c r="C1" s="13" t="s">
        <v>11</v>
      </c>
      <c r="D1" s="13" t="s">
        <v>13</v>
      </c>
      <c r="E1" s="13" t="s">
        <v>15</v>
      </c>
      <c r="F1" s="13" t="s">
        <v>17</v>
      </c>
      <c r="G1" s="13" t="s">
        <v>27</v>
      </c>
      <c r="H1" s="13" t="s">
        <v>21</v>
      </c>
      <c r="I1" s="13" t="s">
        <v>23</v>
      </c>
      <c r="J1" s="13" t="s">
        <v>25</v>
      </c>
    </row>
    <row r="2" spans="1:10" ht="40" customHeight="1" x14ac:dyDescent="0.2">
      <c r="A2" s="14" t="s">
        <v>5</v>
      </c>
      <c r="B2" s="14" t="s">
        <v>28</v>
      </c>
      <c r="C2" s="14" t="s">
        <v>29</v>
      </c>
      <c r="D2" s="14" t="s">
        <v>30</v>
      </c>
      <c r="E2" s="14" t="s">
        <v>31</v>
      </c>
      <c r="F2" s="14" t="s">
        <v>32</v>
      </c>
      <c r="G2" s="14" t="s">
        <v>33</v>
      </c>
      <c r="H2" s="14" t="s">
        <v>34</v>
      </c>
      <c r="I2" s="14" t="s">
        <v>35</v>
      </c>
      <c r="J2" s="14" t="s">
        <v>36</v>
      </c>
    </row>
    <row r="3" spans="1:10" ht="40" customHeight="1" x14ac:dyDescent="0.2">
      <c r="A3" s="15" t="s">
        <v>5</v>
      </c>
      <c r="B3" s="15" t="s">
        <v>37</v>
      </c>
      <c r="C3" s="15" t="s">
        <v>38</v>
      </c>
      <c r="D3" s="15" t="s">
        <v>39</v>
      </c>
      <c r="E3" s="15" t="s">
        <v>40</v>
      </c>
      <c r="F3" s="15" t="s">
        <v>41</v>
      </c>
      <c r="G3" s="15" t="s">
        <v>42</v>
      </c>
      <c r="H3" s="15" t="s">
        <v>43</v>
      </c>
      <c r="I3" s="15" t="s">
        <v>44</v>
      </c>
      <c r="J3" s="15" t="s">
        <v>45</v>
      </c>
    </row>
    <row r="4" spans="1:10" ht="40" customHeight="1" x14ac:dyDescent="0.2">
      <c r="A4" s="14" t="s">
        <v>5</v>
      </c>
      <c r="B4" s="14" t="s">
        <v>46</v>
      </c>
      <c r="C4" s="14" t="s">
        <v>253</v>
      </c>
      <c r="D4" s="23" t="s">
        <v>252</v>
      </c>
      <c r="E4" s="14" t="s">
        <v>47</v>
      </c>
      <c r="F4" s="14" t="s">
        <v>48</v>
      </c>
      <c r="G4" s="14" t="s">
        <v>49</v>
      </c>
      <c r="H4" s="14" t="s">
        <v>50</v>
      </c>
      <c r="I4" s="14" t="s">
        <v>51</v>
      </c>
      <c r="J4" s="14" t="s">
        <v>52</v>
      </c>
    </row>
    <row r="5" spans="1:10" ht="40" customHeight="1" x14ac:dyDescent="0.2">
      <c r="A5" s="15" t="s">
        <v>5</v>
      </c>
      <c r="B5" s="15" t="s">
        <v>254</v>
      </c>
      <c r="C5" s="15" t="s">
        <v>256</v>
      </c>
      <c r="D5" s="22" t="s">
        <v>255</v>
      </c>
      <c r="E5" s="15" t="s">
        <v>257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</row>
    <row r="6" spans="1:10" ht="40" customHeight="1" x14ac:dyDescent="0.2">
      <c r="A6" s="14" t="s">
        <v>5</v>
      </c>
      <c r="B6" s="14" t="s">
        <v>58</v>
      </c>
      <c r="C6" s="14" t="s">
        <v>59</v>
      </c>
      <c r="D6" s="14" t="s">
        <v>60</v>
      </c>
      <c r="E6" s="14" t="s">
        <v>61</v>
      </c>
      <c r="F6" s="14" t="s">
        <v>62</v>
      </c>
      <c r="G6" s="14" t="s">
        <v>63</v>
      </c>
      <c r="H6" s="14" t="s">
        <v>64</v>
      </c>
      <c r="I6" s="14" t="s">
        <v>65</v>
      </c>
      <c r="J6" s="14" t="s">
        <v>66</v>
      </c>
    </row>
    <row r="7" spans="1:10" ht="40" customHeight="1" x14ac:dyDescent="0.2">
      <c r="A7" s="15" t="s">
        <v>5</v>
      </c>
      <c r="B7" s="15" t="s">
        <v>67</v>
      </c>
      <c r="C7" s="15" t="s">
        <v>272</v>
      </c>
      <c r="D7" s="15" t="s">
        <v>270</v>
      </c>
      <c r="E7" s="15" t="s">
        <v>271</v>
      </c>
      <c r="F7" s="15" t="s">
        <v>69</v>
      </c>
      <c r="G7" s="15" t="s">
        <v>70</v>
      </c>
      <c r="H7" s="15" t="s">
        <v>71</v>
      </c>
      <c r="I7" s="15" t="s">
        <v>72</v>
      </c>
      <c r="J7" s="15" t="s">
        <v>73</v>
      </c>
    </row>
    <row r="8" spans="1:10" ht="40" customHeight="1" x14ac:dyDescent="0.2">
      <c r="A8" s="14" t="s">
        <v>5</v>
      </c>
      <c r="B8" s="14" t="s">
        <v>74</v>
      </c>
      <c r="C8" s="14" t="s">
        <v>75</v>
      </c>
      <c r="D8" s="14" t="s">
        <v>76</v>
      </c>
      <c r="E8" s="14" t="s">
        <v>77</v>
      </c>
      <c r="F8" s="14" t="s">
        <v>78</v>
      </c>
      <c r="G8" s="14" t="s">
        <v>79</v>
      </c>
      <c r="H8" s="14" t="s">
        <v>80</v>
      </c>
      <c r="I8" s="14" t="s">
        <v>81</v>
      </c>
      <c r="J8" s="14" t="s">
        <v>82</v>
      </c>
    </row>
    <row r="9" spans="1:10" ht="40" customHeight="1" x14ac:dyDescent="0.2">
      <c r="A9" s="15" t="s">
        <v>5</v>
      </c>
      <c r="B9" s="15" t="s">
        <v>83</v>
      </c>
      <c r="C9" s="15" t="s">
        <v>84</v>
      </c>
      <c r="D9" s="15" t="s">
        <v>85</v>
      </c>
      <c r="E9" s="15" t="s">
        <v>86</v>
      </c>
      <c r="F9" s="15" t="s">
        <v>87</v>
      </c>
      <c r="G9" s="15" t="s">
        <v>88</v>
      </c>
      <c r="H9" s="15" t="s">
        <v>89</v>
      </c>
      <c r="I9" s="15" t="s">
        <v>90</v>
      </c>
      <c r="J9" s="15" t="s">
        <v>91</v>
      </c>
    </row>
    <row r="10" spans="1:10" ht="40" customHeight="1" x14ac:dyDescent="0.2">
      <c r="A10" s="14" t="s">
        <v>5</v>
      </c>
      <c r="B10" s="14" t="s">
        <v>92</v>
      </c>
      <c r="C10" s="15" t="s">
        <v>249</v>
      </c>
      <c r="D10" s="22" t="s">
        <v>248</v>
      </c>
      <c r="E10" s="14" t="s">
        <v>93</v>
      </c>
      <c r="F10" s="14" t="s">
        <v>94</v>
      </c>
      <c r="G10" s="14" t="s">
        <v>88</v>
      </c>
      <c r="H10" s="14" t="s">
        <v>95</v>
      </c>
      <c r="I10" s="14" t="s">
        <v>96</v>
      </c>
      <c r="J10" s="14" t="s">
        <v>97</v>
      </c>
    </row>
    <row r="11" spans="1:10" ht="40" customHeight="1" x14ac:dyDescent="0.2">
      <c r="A11" s="15" t="s">
        <v>5</v>
      </c>
      <c r="B11" s="15" t="s">
        <v>98</v>
      </c>
      <c r="C11" s="15" t="s">
        <v>249</v>
      </c>
      <c r="D11" s="22" t="s">
        <v>248</v>
      </c>
      <c r="E11" s="15" t="s">
        <v>93</v>
      </c>
      <c r="F11" s="15" t="s">
        <v>99</v>
      </c>
      <c r="G11" s="15" t="s">
        <v>100</v>
      </c>
      <c r="H11" s="15" t="s">
        <v>101</v>
      </c>
      <c r="I11" s="15" t="s">
        <v>102</v>
      </c>
      <c r="J11" s="15" t="s">
        <v>103</v>
      </c>
    </row>
    <row r="12" spans="1:10" ht="40" customHeight="1" x14ac:dyDescent="0.2">
      <c r="A12" s="14" t="s">
        <v>5</v>
      </c>
      <c r="B12" s="14" t="s">
        <v>104</v>
      </c>
      <c r="C12" s="14" t="s">
        <v>250</v>
      </c>
      <c r="D12" s="23" t="s">
        <v>251</v>
      </c>
      <c r="E12" s="14" t="s">
        <v>105</v>
      </c>
      <c r="F12" s="14" t="s">
        <v>106</v>
      </c>
      <c r="G12" s="14" t="s">
        <v>107</v>
      </c>
      <c r="H12" s="14" t="s">
        <v>108</v>
      </c>
      <c r="I12" s="14" t="s">
        <v>109</v>
      </c>
      <c r="J12" s="14" t="s">
        <v>110</v>
      </c>
    </row>
    <row r="13" spans="1:10" ht="40" customHeight="1" x14ac:dyDescent="0.2">
      <c r="A13" s="15" t="s">
        <v>5</v>
      </c>
      <c r="B13" s="15" t="s">
        <v>111</v>
      </c>
      <c r="C13" s="15" t="s">
        <v>112</v>
      </c>
      <c r="D13" s="15" t="s">
        <v>113</v>
      </c>
      <c r="E13" s="15" t="s">
        <v>114</v>
      </c>
      <c r="F13" s="15" t="s">
        <v>115</v>
      </c>
      <c r="G13" s="15" t="s">
        <v>116</v>
      </c>
      <c r="H13" s="15" t="s">
        <v>117</v>
      </c>
      <c r="I13" s="15" t="s">
        <v>118</v>
      </c>
      <c r="J13" s="15" t="s">
        <v>119</v>
      </c>
    </row>
    <row r="14" spans="1:10" ht="40" customHeight="1" x14ac:dyDescent="0.2">
      <c r="A14" s="14" t="s">
        <v>5</v>
      </c>
      <c r="B14" s="14" t="s">
        <v>120</v>
      </c>
      <c r="C14" s="14" t="s">
        <v>121</v>
      </c>
      <c r="D14" s="23" t="s">
        <v>258</v>
      </c>
      <c r="E14" s="14" t="s">
        <v>265</v>
      </c>
      <c r="F14" s="14" t="s">
        <v>122</v>
      </c>
      <c r="G14" s="14" t="s">
        <v>123</v>
      </c>
      <c r="H14" s="14" t="s">
        <v>124</v>
      </c>
      <c r="I14" s="14" t="s">
        <v>125</v>
      </c>
      <c r="J14" s="14" t="s">
        <v>126</v>
      </c>
    </row>
    <row r="15" spans="1:10" ht="112" x14ac:dyDescent="0.2">
      <c r="A15" s="24" t="s">
        <v>259</v>
      </c>
      <c r="B15" s="24" t="s">
        <v>260</v>
      </c>
      <c r="C15" s="24" t="s">
        <v>261</v>
      </c>
      <c r="D15" s="25" t="s">
        <v>262</v>
      </c>
      <c r="E15" s="24" t="s">
        <v>264</v>
      </c>
      <c r="F15" s="24" t="s">
        <v>263</v>
      </c>
      <c r="G15" s="24" t="s">
        <v>266</v>
      </c>
      <c r="H15" s="24" t="s">
        <v>267</v>
      </c>
      <c r="I15" s="24" t="s">
        <v>268</v>
      </c>
      <c r="J15" s="24" t="s">
        <v>269</v>
      </c>
    </row>
    <row r="16" spans="1:10" ht="40" customHeight="1" x14ac:dyDescent="0.2">
      <c r="A16" s="14" t="s">
        <v>5</v>
      </c>
      <c r="B16" s="14" t="s">
        <v>273</v>
      </c>
      <c r="C16" s="14" t="s">
        <v>277</v>
      </c>
      <c r="D16" s="23" t="s">
        <v>276</v>
      </c>
      <c r="E16" s="27" t="s">
        <v>275</v>
      </c>
      <c r="F16" s="14" t="s">
        <v>274</v>
      </c>
      <c r="G16" s="14"/>
      <c r="H16" s="14"/>
      <c r="I16" s="14"/>
      <c r="J16" s="14"/>
    </row>
  </sheetData>
  <autoFilter ref="A1:J9" xr:uid="{00000000-0009-0000-0000-000001000000}"/>
  <hyperlinks>
    <hyperlink ref="D11" r:id="rId1" xr:uid="{2FB3D3F3-1D43-BD4C-A601-38722F465411}"/>
    <hyperlink ref="D12" r:id="rId2" xr:uid="{C5551791-94BC-0D4B-83E2-67E8DA4F208C}"/>
    <hyperlink ref="D10" r:id="rId3" xr:uid="{039690D9-B16C-AF4E-98FC-2CC8BC446328}"/>
    <hyperlink ref="D4" r:id="rId4" xr:uid="{40C37346-5846-264D-870C-C23B0426C0CB}"/>
    <hyperlink ref="D5" r:id="rId5" xr:uid="{48F4AF29-FB05-3F4F-80B2-7278F5A587F3}"/>
    <hyperlink ref="D14" r:id="rId6" xr:uid="{ACB6CB24-4AB0-944C-8761-CA1F485E0895}"/>
    <hyperlink ref="D15" r:id="rId7" xr:uid="{6608B865-D112-D046-B21D-02C795B4F976}"/>
    <hyperlink ref="E16" r:id="rId8" display="https://www.google.com/search?gs_ssp=eJzj4tZP1zc0MjTJTbEoMGC0UjGoSDFJNTUwMkk0NjEwMTNIszKoMDI0tUwytTRMBVGJSWZe3JklxYnFuaXFqaW5AB3KEj8&amp;q=itsasmuseum&amp;oq=itsa&amp;gs_lcrp=EgZjaHJvbWUqDQgCEC4YrwEYxwEYgAQyBggAEEUYOTIHCAEQABiABDINCAIQLhivARjHARiABDIHCAMQABiABDIHCAQQLhiABDIHCAUQLhiABDIHCAYQLhiABDISCAcQLhgKGK8BGMcBGIAEGI4FMgcICBAAGIAEMgcICRAuGIAE0gEKMjcyOTJqMGoxNagCCLACAfEFfk9VCEoEAw3xBX5PVQhKBAMN&amp;sourceid=chrome&amp;ie=UTF-8" xr:uid="{E9860746-C94B-6A4E-96F7-CC2C346E2F23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32" customWidth="1"/>
    <col min="3" max="3" width="22" customWidth="1"/>
    <col min="4" max="4" width="32" customWidth="1"/>
    <col min="5" max="5" width="18" customWidth="1"/>
    <col min="6" max="6" width="40" customWidth="1"/>
    <col min="7" max="7" width="20" customWidth="1"/>
    <col min="8" max="8" width="42" customWidth="1"/>
    <col min="9" max="9" width="38" customWidth="1"/>
    <col min="10" max="10" width="22" customWidth="1"/>
  </cols>
  <sheetData>
    <row r="1" spans="1:10" ht="32" customHeight="1" x14ac:dyDescent="0.2">
      <c r="A1" s="16" t="s">
        <v>2</v>
      </c>
      <c r="B1" s="16" t="s">
        <v>9</v>
      </c>
      <c r="C1" s="16" t="s">
        <v>11</v>
      </c>
      <c r="D1" s="16" t="s">
        <v>13</v>
      </c>
      <c r="E1" s="16" t="s">
        <v>15</v>
      </c>
      <c r="F1" s="16" t="s">
        <v>17</v>
      </c>
      <c r="G1" s="16" t="s">
        <v>27</v>
      </c>
      <c r="H1" s="16" t="s">
        <v>21</v>
      </c>
      <c r="I1" s="16" t="s">
        <v>23</v>
      </c>
      <c r="J1" s="16" t="s">
        <v>25</v>
      </c>
    </row>
    <row r="2" spans="1:10" ht="40" customHeight="1" x14ac:dyDescent="0.2">
      <c r="A2" s="17" t="s">
        <v>6</v>
      </c>
      <c r="B2" s="17" t="s">
        <v>127</v>
      </c>
      <c r="C2" s="17" t="s">
        <v>128</v>
      </c>
      <c r="D2" s="17" t="s">
        <v>129</v>
      </c>
      <c r="E2" s="17" t="s">
        <v>130</v>
      </c>
      <c r="F2" s="17" t="s">
        <v>131</v>
      </c>
      <c r="G2" s="17" t="s">
        <v>132</v>
      </c>
      <c r="H2" s="17" t="s">
        <v>133</v>
      </c>
      <c r="I2" s="17" t="s">
        <v>134</v>
      </c>
      <c r="J2" s="17" t="s">
        <v>135</v>
      </c>
    </row>
    <row r="3" spans="1:10" ht="40" customHeight="1" x14ac:dyDescent="0.2">
      <c r="A3" s="18" t="s">
        <v>6</v>
      </c>
      <c r="B3" s="18" t="s">
        <v>136</v>
      </c>
      <c r="C3" s="18" t="s">
        <v>137</v>
      </c>
      <c r="D3" s="18" t="s">
        <v>138</v>
      </c>
      <c r="E3" s="18" t="s">
        <v>139</v>
      </c>
      <c r="F3" s="18" t="s">
        <v>140</v>
      </c>
      <c r="G3" s="18" t="s">
        <v>141</v>
      </c>
      <c r="H3" s="18" t="s">
        <v>142</v>
      </c>
      <c r="I3" s="18" t="s">
        <v>143</v>
      </c>
      <c r="J3" s="18" t="s">
        <v>144</v>
      </c>
    </row>
    <row r="4" spans="1:10" ht="40" customHeight="1" x14ac:dyDescent="0.2">
      <c r="A4" s="17" t="s">
        <v>6</v>
      </c>
      <c r="B4" s="17" t="s">
        <v>145</v>
      </c>
      <c r="C4" s="17" t="s">
        <v>75</v>
      </c>
      <c r="D4" s="17" t="s">
        <v>146</v>
      </c>
      <c r="E4" s="17" t="s">
        <v>147</v>
      </c>
      <c r="F4" s="17" t="s">
        <v>148</v>
      </c>
      <c r="G4" s="17" t="s">
        <v>149</v>
      </c>
      <c r="H4" s="17" t="s">
        <v>150</v>
      </c>
      <c r="I4" s="17" t="s">
        <v>151</v>
      </c>
      <c r="J4" s="17" t="s">
        <v>82</v>
      </c>
    </row>
    <row r="5" spans="1:10" ht="40" customHeight="1" x14ac:dyDescent="0.2">
      <c r="A5" s="18" t="s">
        <v>6</v>
      </c>
      <c r="B5" s="18" t="s">
        <v>152</v>
      </c>
      <c r="C5" s="18" t="s">
        <v>68</v>
      </c>
      <c r="D5" s="18" t="s">
        <v>153</v>
      </c>
      <c r="E5" s="18" t="s">
        <v>154</v>
      </c>
      <c r="F5" s="18" t="s">
        <v>155</v>
      </c>
      <c r="G5" s="18" t="s">
        <v>156</v>
      </c>
      <c r="H5" s="18" t="s">
        <v>157</v>
      </c>
      <c r="I5" s="18" t="s">
        <v>158</v>
      </c>
      <c r="J5" s="18" t="s">
        <v>159</v>
      </c>
    </row>
    <row r="6" spans="1:10" ht="40" customHeight="1" x14ac:dyDescent="0.2">
      <c r="A6" s="17" t="s">
        <v>6</v>
      </c>
      <c r="B6" s="17" t="s">
        <v>160</v>
      </c>
      <c r="C6" s="17" t="s">
        <v>75</v>
      </c>
      <c r="D6" s="17" t="s">
        <v>161</v>
      </c>
      <c r="E6" s="17" t="s">
        <v>162</v>
      </c>
      <c r="F6" s="17" t="s">
        <v>163</v>
      </c>
      <c r="G6" s="17" t="s">
        <v>164</v>
      </c>
      <c r="H6" s="17" t="s">
        <v>165</v>
      </c>
      <c r="I6" s="17" t="s">
        <v>166</v>
      </c>
      <c r="J6" s="17" t="s">
        <v>167</v>
      </c>
    </row>
    <row r="7" spans="1:10" ht="40" customHeight="1" x14ac:dyDescent="0.2">
      <c r="A7" s="18" t="s">
        <v>6</v>
      </c>
      <c r="B7" s="18" t="s">
        <v>168</v>
      </c>
      <c r="C7" s="18" t="s">
        <v>169</v>
      </c>
      <c r="D7" s="18" t="s">
        <v>170</v>
      </c>
      <c r="E7" s="18" t="s">
        <v>171</v>
      </c>
      <c r="F7" s="18" t="s">
        <v>172</v>
      </c>
      <c r="G7" s="18" t="s">
        <v>173</v>
      </c>
      <c r="H7" s="18" t="s">
        <v>174</v>
      </c>
      <c r="I7" s="18" t="s">
        <v>175</v>
      </c>
      <c r="J7" s="18" t="s">
        <v>91</v>
      </c>
    </row>
    <row r="8" spans="1:10" ht="40" customHeight="1" x14ac:dyDescent="0.2">
      <c r="A8" s="17" t="s">
        <v>6</v>
      </c>
      <c r="B8" s="17" t="s">
        <v>176</v>
      </c>
      <c r="C8" s="17" t="s">
        <v>75</v>
      </c>
      <c r="D8" s="17" t="s">
        <v>177</v>
      </c>
      <c r="E8" s="17" t="s">
        <v>178</v>
      </c>
      <c r="F8" s="17" t="s">
        <v>179</v>
      </c>
      <c r="G8" s="17" t="s">
        <v>123</v>
      </c>
      <c r="H8" s="17" t="s">
        <v>180</v>
      </c>
      <c r="I8" s="17" t="s">
        <v>181</v>
      </c>
      <c r="J8" s="17" t="s">
        <v>182</v>
      </c>
    </row>
    <row r="9" spans="1:10" ht="40" customHeight="1" x14ac:dyDescent="0.2">
      <c r="A9" s="18" t="s">
        <v>6</v>
      </c>
      <c r="B9" s="18" t="s">
        <v>183</v>
      </c>
      <c r="C9" s="18" t="s">
        <v>184</v>
      </c>
      <c r="D9" s="18" t="s">
        <v>185</v>
      </c>
      <c r="E9" s="18" t="s">
        <v>186</v>
      </c>
      <c r="F9" s="18" t="s">
        <v>187</v>
      </c>
      <c r="G9" s="18" t="s">
        <v>188</v>
      </c>
      <c r="H9" s="18" t="s">
        <v>189</v>
      </c>
      <c r="I9" s="18" t="s">
        <v>190</v>
      </c>
      <c r="J9" s="18" t="s">
        <v>191</v>
      </c>
    </row>
  </sheetData>
  <autoFilter ref="A1:J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32" customWidth="1"/>
    <col min="3" max="3" width="22" customWidth="1"/>
    <col min="4" max="4" width="32" customWidth="1"/>
    <col min="5" max="5" width="18" customWidth="1"/>
    <col min="6" max="6" width="40" customWidth="1"/>
    <col min="7" max="7" width="20" customWidth="1"/>
    <col min="8" max="8" width="42" customWidth="1"/>
    <col min="9" max="9" width="38" customWidth="1"/>
    <col min="10" max="10" width="22" customWidth="1"/>
  </cols>
  <sheetData>
    <row r="1" spans="1:10" ht="32" customHeight="1" x14ac:dyDescent="0.2">
      <c r="A1" s="19" t="s">
        <v>2</v>
      </c>
      <c r="B1" s="19" t="s">
        <v>9</v>
      </c>
      <c r="C1" s="19" t="s">
        <v>11</v>
      </c>
      <c r="D1" s="19" t="s">
        <v>13</v>
      </c>
      <c r="E1" s="19" t="s">
        <v>15</v>
      </c>
      <c r="F1" s="19" t="s">
        <v>17</v>
      </c>
      <c r="G1" s="19" t="s">
        <v>27</v>
      </c>
      <c r="H1" s="19" t="s">
        <v>21</v>
      </c>
      <c r="I1" s="19" t="s">
        <v>23</v>
      </c>
      <c r="J1" s="19" t="s">
        <v>25</v>
      </c>
    </row>
    <row r="2" spans="1:10" ht="40" customHeight="1" x14ac:dyDescent="0.2">
      <c r="A2" s="20" t="s">
        <v>7</v>
      </c>
      <c r="B2" s="20" t="s">
        <v>192</v>
      </c>
      <c r="C2" s="20" t="s">
        <v>193</v>
      </c>
      <c r="D2" s="20" t="s">
        <v>194</v>
      </c>
      <c r="E2" s="20" t="s">
        <v>195</v>
      </c>
      <c r="F2" s="20" t="s">
        <v>196</v>
      </c>
      <c r="G2" s="20" t="s">
        <v>197</v>
      </c>
      <c r="H2" s="20" t="s">
        <v>133</v>
      </c>
      <c r="I2" s="20" t="s">
        <v>198</v>
      </c>
      <c r="J2" s="20" t="s">
        <v>199</v>
      </c>
    </row>
    <row r="3" spans="1:10" ht="40" customHeight="1" x14ac:dyDescent="0.2">
      <c r="A3" s="21" t="s">
        <v>7</v>
      </c>
      <c r="B3" s="21" t="s">
        <v>200</v>
      </c>
      <c r="C3" s="21" t="s">
        <v>137</v>
      </c>
      <c r="D3" s="21" t="s">
        <v>201</v>
      </c>
      <c r="E3" s="21" t="s">
        <v>202</v>
      </c>
      <c r="F3" s="21" t="s">
        <v>196</v>
      </c>
      <c r="G3" s="21" t="s">
        <v>203</v>
      </c>
      <c r="H3" s="21" t="s">
        <v>204</v>
      </c>
      <c r="I3" s="21" t="s">
        <v>205</v>
      </c>
      <c r="J3" s="21" t="s">
        <v>144</v>
      </c>
    </row>
    <row r="4" spans="1:10" ht="40" customHeight="1" x14ac:dyDescent="0.2">
      <c r="A4" s="20" t="s">
        <v>7</v>
      </c>
      <c r="B4" s="20" t="s">
        <v>206</v>
      </c>
      <c r="C4" s="20" t="s">
        <v>75</v>
      </c>
      <c r="D4" s="20" t="s">
        <v>207</v>
      </c>
      <c r="E4" s="20" t="s">
        <v>208</v>
      </c>
      <c r="F4" s="20" t="s">
        <v>209</v>
      </c>
      <c r="G4" s="20" t="s">
        <v>70</v>
      </c>
      <c r="H4" s="20" t="s">
        <v>210</v>
      </c>
      <c r="I4" s="20" t="s">
        <v>211</v>
      </c>
      <c r="J4" s="20" t="s">
        <v>82</v>
      </c>
    </row>
    <row r="5" spans="1:10" ht="40" customHeight="1" x14ac:dyDescent="0.2">
      <c r="A5" s="21" t="s">
        <v>7</v>
      </c>
      <c r="B5" s="21" t="s">
        <v>212</v>
      </c>
      <c r="C5" s="21" t="s">
        <v>213</v>
      </c>
      <c r="D5" s="21" t="s">
        <v>214</v>
      </c>
      <c r="E5" s="21" t="s">
        <v>215</v>
      </c>
      <c r="F5" s="21" t="s">
        <v>216</v>
      </c>
      <c r="G5" s="21" t="s">
        <v>123</v>
      </c>
      <c r="H5" s="21" t="s">
        <v>217</v>
      </c>
      <c r="I5" s="21" t="s">
        <v>218</v>
      </c>
      <c r="J5" s="21" t="s">
        <v>219</v>
      </c>
    </row>
    <row r="6" spans="1:10" ht="40" customHeight="1" x14ac:dyDescent="0.2">
      <c r="A6" s="20" t="s">
        <v>7</v>
      </c>
      <c r="B6" s="20" t="s">
        <v>220</v>
      </c>
      <c r="C6" s="20" t="s">
        <v>169</v>
      </c>
      <c r="D6" s="20" t="s">
        <v>170</v>
      </c>
      <c r="E6" s="20" t="s">
        <v>221</v>
      </c>
      <c r="F6" s="20" t="s">
        <v>222</v>
      </c>
      <c r="G6" s="20" t="s">
        <v>149</v>
      </c>
      <c r="H6" s="20" t="s">
        <v>89</v>
      </c>
      <c r="I6" s="20" t="s">
        <v>223</v>
      </c>
      <c r="J6" s="20" t="s">
        <v>91</v>
      </c>
    </row>
    <row r="7" spans="1:10" ht="40" customHeight="1" x14ac:dyDescent="0.2">
      <c r="A7" s="21" t="s">
        <v>7</v>
      </c>
      <c r="B7" s="21" t="s">
        <v>224</v>
      </c>
      <c r="C7" s="21" t="s">
        <v>225</v>
      </c>
      <c r="D7" s="21" t="s">
        <v>226</v>
      </c>
      <c r="E7" s="21" t="s">
        <v>227</v>
      </c>
      <c r="F7" s="21" t="s">
        <v>228</v>
      </c>
      <c r="G7" s="21" t="s">
        <v>229</v>
      </c>
      <c r="H7" s="21" t="s">
        <v>230</v>
      </c>
      <c r="I7" s="21" t="s">
        <v>231</v>
      </c>
      <c r="J7" s="21" t="s">
        <v>232</v>
      </c>
    </row>
    <row r="8" spans="1:10" ht="40" customHeight="1" x14ac:dyDescent="0.2">
      <c r="A8" s="20" t="s">
        <v>7</v>
      </c>
      <c r="B8" s="20" t="s">
        <v>233</v>
      </c>
      <c r="C8" s="20" t="s">
        <v>59</v>
      </c>
      <c r="D8" s="20" t="s">
        <v>234</v>
      </c>
      <c r="E8" s="20" t="s">
        <v>235</v>
      </c>
      <c r="F8" s="20" t="s">
        <v>236</v>
      </c>
      <c r="G8" s="20" t="s">
        <v>237</v>
      </c>
      <c r="H8" s="20" t="s">
        <v>238</v>
      </c>
      <c r="I8" s="20" t="s">
        <v>239</v>
      </c>
      <c r="J8" s="20" t="s">
        <v>240</v>
      </c>
    </row>
    <row r="9" spans="1:10" ht="40" customHeight="1" x14ac:dyDescent="0.2">
      <c r="A9" s="21" t="s">
        <v>7</v>
      </c>
      <c r="B9" s="21" t="s">
        <v>241</v>
      </c>
      <c r="C9" s="21" t="s">
        <v>242</v>
      </c>
      <c r="D9" s="21" t="s">
        <v>243</v>
      </c>
      <c r="E9" s="21" t="s">
        <v>244</v>
      </c>
      <c r="F9" s="21" t="s">
        <v>245</v>
      </c>
      <c r="G9" s="21" t="s">
        <v>49</v>
      </c>
      <c r="H9" s="21" t="s">
        <v>246</v>
      </c>
      <c r="I9" s="21" t="s">
        <v>247</v>
      </c>
      <c r="J9" s="21" t="s">
        <v>73</v>
      </c>
    </row>
  </sheetData>
  <autoFilter ref="A1:J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Bilbao</vt:lpstr>
      <vt:lpstr>Donostia-San Sebastián</vt:lpstr>
      <vt:lpstr>Vitoria-Gasteiz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CRUZ BARROSO</cp:lastModifiedBy>
  <dcterms:created xsi:type="dcterms:W3CDTF">2026-03-23T12:17:57Z</dcterms:created>
  <dcterms:modified xsi:type="dcterms:W3CDTF">2026-05-04T08:38:32Z</dcterms:modified>
</cp:coreProperties>
</file>